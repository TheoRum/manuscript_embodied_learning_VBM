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theo/Downloads/_paper/"/>
    </mc:Choice>
  </mc:AlternateContent>
  <xr:revisionPtr revIDLastSave="0" documentId="13_ncr:1_{A773AC79-EA5B-F04E-A1AF-7BC4AC40F2EA}" xr6:coauthVersionLast="47" xr6:coauthVersionMax="47" xr10:uidLastSave="{00000000-0000-0000-0000-000000000000}"/>
  <bookViews>
    <workbookView xWindow="0" yWindow="760" windowWidth="34560" windowHeight="19680" xr2:uid="{00000000-000D-0000-FFFF-FFFF00000000}"/>
  </bookViews>
  <sheets>
    <sheet name="Sheet1" sheetId="1" r:id="rId1"/>
  </sheets>
  <definedNames>
    <definedName name="_xlnm._FilterDatabase" localSheetId="0" hidden="1">Sheet1!$A$1:$VS$48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16" i="1"/>
</calcChain>
</file>

<file path=xl/sharedStrings.xml><?xml version="1.0" encoding="utf-8"?>
<sst xmlns="http://schemas.openxmlformats.org/spreadsheetml/2006/main" count="120" uniqueCount="31">
  <si>
    <t>TIV_liter</t>
  </si>
  <si>
    <t>male</t>
  </si>
  <si>
    <t>Control</t>
  </si>
  <si>
    <t>female</t>
  </si>
  <si>
    <t>VE</t>
  </si>
  <si>
    <t>VR</t>
  </si>
  <si>
    <t>group</t>
  </si>
  <si>
    <t>age</t>
  </si>
  <si>
    <t>sex</t>
  </si>
  <si>
    <t>hours_between_mri_scans</t>
  </si>
  <si>
    <t>days_between_recognition_tests</t>
  </si>
  <si>
    <t>3back_mean</t>
  </si>
  <si>
    <t>4back_mean</t>
  </si>
  <si>
    <t>sart_prob_correct_inhibition</t>
  </si>
  <si>
    <t>sart_prob_correct_total</t>
  </si>
  <si>
    <t>recognition_test_baseline_real</t>
  </si>
  <si>
    <t>recognition_test_baseline_total</t>
  </si>
  <si>
    <t>recognition_test_baseline_rendered</t>
  </si>
  <si>
    <t>recognition_test_followup_real</t>
  </si>
  <si>
    <t>recognition_test_followup_total</t>
  </si>
  <si>
    <t>recognition_test_followup_rendered</t>
  </si>
  <si>
    <t>pointings_sum</t>
  </si>
  <si>
    <t>pointings_mean</t>
  </si>
  <si>
    <t>pointings_median</t>
  </si>
  <si>
    <t>manipulations_sum</t>
  </si>
  <si>
    <t>manipulations_mean</t>
  </si>
  <si>
    <t>manipulations_median</t>
  </si>
  <si>
    <t>movement_sum</t>
  </si>
  <si>
    <t>manipulator_group</t>
  </si>
  <si>
    <t>used_for_vbm_template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</si>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</sst>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"/>
  <sheetViews>
    <sheetView tabSelected="1" zoomScale="130" zoomScaleNormal="130" workbookViewId="0">
      <selection activeCell="B7" sqref="B7"/>
    </sheetView>
  </sheetViews>
  <sheetFormatPr baseColWidth="10" defaultColWidth="8.83203125" defaultRowHeight="15" x14ac:dyDescent="0.2"/>
  <cols>
    <col min="1" max="1" width="8.1640625" bestFit="1" customWidth="1"/>
    <col min="2" max="2" width="25.1640625" bestFit="1" customWidth="1"/>
    <col min="3" max="3" width="12.83203125" bestFit="1" customWidth="1"/>
    <col min="4" max="4" width="12.6640625" bestFit="1" customWidth="1"/>
    <col min="5" max="5" width="10.6640625" bestFit="1" customWidth="1"/>
    <col min="6" max="6" width="21" bestFit="1" customWidth="1"/>
    <col min="7" max="7" width="21.83203125" bestFit="1" customWidth="1"/>
    <col min="8" max="8" width="26.6640625" bestFit="1" customWidth="1"/>
    <col min="9" max="10" width="21.5" bestFit="1" customWidth="1"/>
    <col min="11" max="11" width="33.5" bestFit="1" customWidth="1"/>
    <col min="12" max="12" width="29.33203125" bestFit="1" customWidth="1"/>
    <col min="13" max="13" width="37" bestFit="1" customWidth="1"/>
    <col min="14" max="14" width="35.83203125" bestFit="1" customWidth="1"/>
    <col min="15" max="15" width="33.6640625" bestFit="1" customWidth="1"/>
    <col min="16" max="16" width="37.33203125" bestFit="1" customWidth="1"/>
    <col min="17" max="17" width="36.1640625" bestFit="1" customWidth="1"/>
    <col min="18" max="18" width="34" bestFit="1" customWidth="1"/>
    <col min="19" max="19" width="14.33203125" bestFit="1" customWidth="1"/>
    <col min="20" max="20" width="15.5" bestFit="1" customWidth="1"/>
    <col min="21" max="21" width="17" bestFit="1" customWidth="1"/>
    <col min="22" max="22" width="21.33203125" bestFit="1" customWidth="1"/>
    <col min="23" max="23" width="16.1640625" bestFit="1" customWidth="1"/>
    <col min="24" max="24" width="17.6640625" bestFit="1" customWidth="1"/>
    <col min="25" max="25" width="23.33203125" bestFit="1" customWidth="1"/>
    <col min="26" max="26" width="12.83203125" bestFit="1" customWidth="1"/>
  </cols>
  <sheetData>
    <row r="1" spans="1:26" x14ac:dyDescent="0.2">
      <c r="A1" s="1" t="s">
        <v>30</v>
      </c>
      <c r="B1" s="1" t="s">
        <v>29</v>
      </c>
      <c r="C1" s="1" t="s">
        <v>7</v>
      </c>
      <c r="D1" s="1" t="s">
        <v>8</v>
      </c>
      <c r="E1" s="1" t="s">
        <v>6</v>
      </c>
      <c r="F1" s="1" t="s">
        <v>28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0</v>
      </c>
    </row>
    <row r="2" spans="1:26" x14ac:dyDescent="0.2">
      <c r="A2">
        <v>1</v>
      </c>
      <c r="B2">
        <v>1</v>
      </c>
      <c r="C2">
        <v>23</v>
      </c>
      <c r="D2" t="s">
        <v>1</v>
      </c>
      <c r="E2" t="s">
        <v>2</v>
      </c>
      <c r="G2">
        <v>3.3905555555555562</v>
      </c>
      <c r="I2">
        <v>0.67</v>
      </c>
      <c r="J2">
        <v>0.55000000000000004</v>
      </c>
      <c r="K2">
        <v>0.8</v>
      </c>
      <c r="L2">
        <v>0.97</v>
      </c>
      <c r="Z2">
        <v>1.592891789317864</v>
      </c>
    </row>
    <row r="3" spans="1:26" x14ac:dyDescent="0.2">
      <c r="A3">
        <v>2</v>
      </c>
      <c r="B3">
        <v>1</v>
      </c>
      <c r="C3">
        <v>34</v>
      </c>
      <c r="D3" t="s">
        <v>1</v>
      </c>
      <c r="E3" t="s">
        <v>2</v>
      </c>
      <c r="G3">
        <v>3.4674999999999998</v>
      </c>
      <c r="I3">
        <v>0.55000000000000004</v>
      </c>
      <c r="J3">
        <v>0.55000000000000004</v>
      </c>
      <c r="K3">
        <v>0.68</v>
      </c>
      <c r="L3">
        <v>0.96</v>
      </c>
      <c r="Z3">
        <v>1.385023711995476</v>
      </c>
    </row>
    <row r="4" spans="1:26" x14ac:dyDescent="0.2">
      <c r="A4">
        <v>3</v>
      </c>
      <c r="B4">
        <v>1</v>
      </c>
      <c r="C4">
        <v>19</v>
      </c>
      <c r="D4" t="s">
        <v>1</v>
      </c>
      <c r="E4" t="s">
        <v>2</v>
      </c>
      <c r="G4">
        <v>2.4980555555555548</v>
      </c>
      <c r="I4">
        <v>0.55000000000000004</v>
      </c>
      <c r="J4">
        <v>0.47</v>
      </c>
      <c r="K4">
        <v>0.72</v>
      </c>
      <c r="L4">
        <v>0.93</v>
      </c>
      <c r="Z4">
        <v>1.481214911786358</v>
      </c>
    </row>
    <row r="5" spans="1:26" x14ac:dyDescent="0.2">
      <c r="A5">
        <v>4</v>
      </c>
      <c r="B5">
        <v>1</v>
      </c>
      <c r="C5">
        <v>22</v>
      </c>
      <c r="D5" t="s">
        <v>1</v>
      </c>
      <c r="E5" t="s">
        <v>2</v>
      </c>
      <c r="G5">
        <v>3.1461111111111109</v>
      </c>
      <c r="I5">
        <v>0.64</v>
      </c>
      <c r="J5">
        <v>0.65</v>
      </c>
      <c r="K5">
        <v>0.4</v>
      </c>
      <c r="L5">
        <v>0.91</v>
      </c>
      <c r="Z5">
        <v>1.5322262916595319</v>
      </c>
    </row>
    <row r="6" spans="1:26" x14ac:dyDescent="0.2">
      <c r="A6">
        <v>5</v>
      </c>
      <c r="B6">
        <v>1</v>
      </c>
      <c r="C6">
        <v>22</v>
      </c>
      <c r="D6" t="s">
        <v>1</v>
      </c>
      <c r="E6" t="s">
        <v>2</v>
      </c>
      <c r="G6">
        <v>3.0283333333333329</v>
      </c>
      <c r="I6">
        <v>0.55000000000000004</v>
      </c>
      <c r="J6">
        <v>0.49</v>
      </c>
      <c r="K6">
        <v>0.16</v>
      </c>
      <c r="L6">
        <v>0.89</v>
      </c>
      <c r="Z6">
        <v>1.7647728401118761</v>
      </c>
    </row>
    <row r="7" spans="1:26" x14ac:dyDescent="0.2">
      <c r="A7">
        <v>6</v>
      </c>
      <c r="B7">
        <v>1</v>
      </c>
      <c r="C7">
        <v>24</v>
      </c>
      <c r="D7" t="s">
        <v>3</v>
      </c>
      <c r="E7" t="s">
        <v>2</v>
      </c>
      <c r="G7">
        <v>2.7786111111111111</v>
      </c>
      <c r="I7">
        <v>0.74</v>
      </c>
      <c r="J7">
        <v>0.24</v>
      </c>
      <c r="K7">
        <v>0.12</v>
      </c>
      <c r="L7">
        <v>0.83</v>
      </c>
      <c r="Z7">
        <v>1.3567757098626361</v>
      </c>
    </row>
    <row r="8" spans="1:26" x14ac:dyDescent="0.2">
      <c r="A8">
        <v>7</v>
      </c>
      <c r="B8">
        <v>1</v>
      </c>
      <c r="C8">
        <v>21</v>
      </c>
      <c r="D8" t="s">
        <v>3</v>
      </c>
      <c r="E8" t="s">
        <v>2</v>
      </c>
      <c r="G8">
        <v>2.5116666666666658</v>
      </c>
      <c r="I8">
        <v>0.64</v>
      </c>
      <c r="J8">
        <v>0.54</v>
      </c>
      <c r="K8">
        <v>0.2</v>
      </c>
      <c r="L8">
        <v>0.9</v>
      </c>
      <c r="Z8">
        <v>1.4392659520039219</v>
      </c>
    </row>
    <row r="9" spans="1:26" x14ac:dyDescent="0.2">
      <c r="A9">
        <v>8</v>
      </c>
      <c r="B9">
        <v>1</v>
      </c>
      <c r="C9">
        <v>22</v>
      </c>
      <c r="D9" t="s">
        <v>3</v>
      </c>
      <c r="E9" t="s">
        <v>2</v>
      </c>
      <c r="G9">
        <v>3.3530555555555561</v>
      </c>
      <c r="I9">
        <v>0.79</v>
      </c>
      <c r="J9">
        <v>0.69</v>
      </c>
      <c r="K9">
        <v>0.76</v>
      </c>
      <c r="L9">
        <v>0.97</v>
      </c>
      <c r="Z9">
        <v>1.3869571057819401</v>
      </c>
    </row>
    <row r="10" spans="1:26" x14ac:dyDescent="0.2">
      <c r="A10">
        <v>9</v>
      </c>
      <c r="B10">
        <v>1</v>
      </c>
      <c r="C10">
        <v>25</v>
      </c>
      <c r="D10" t="s">
        <v>1</v>
      </c>
      <c r="E10" t="s">
        <v>2</v>
      </c>
      <c r="G10">
        <v>2.3277777777777779</v>
      </c>
      <c r="I10">
        <v>0.85</v>
      </c>
      <c r="J10">
        <v>0.79</v>
      </c>
      <c r="K10">
        <v>0.08</v>
      </c>
      <c r="L10">
        <v>0.89</v>
      </c>
      <c r="Z10">
        <v>1.5755738013723399</v>
      </c>
    </row>
    <row r="11" spans="1:26" x14ac:dyDescent="0.2">
      <c r="A11">
        <v>10</v>
      </c>
      <c r="B11">
        <v>1</v>
      </c>
      <c r="C11">
        <v>21</v>
      </c>
      <c r="D11" t="s">
        <v>1</v>
      </c>
      <c r="E11" t="s">
        <v>2</v>
      </c>
      <c r="G11">
        <v>2.384444444444445</v>
      </c>
      <c r="I11">
        <v>0.72</v>
      </c>
      <c r="J11">
        <v>0.78</v>
      </c>
      <c r="K11">
        <v>0.2</v>
      </c>
      <c r="L11">
        <v>0.88</v>
      </c>
      <c r="Z11">
        <v>1.621164585536748</v>
      </c>
    </row>
    <row r="12" spans="1:26" x14ac:dyDescent="0.2">
      <c r="A12">
        <v>11</v>
      </c>
      <c r="B12">
        <v>1</v>
      </c>
      <c r="C12">
        <v>23</v>
      </c>
      <c r="D12" t="s">
        <v>3</v>
      </c>
      <c r="E12" t="s">
        <v>2</v>
      </c>
      <c r="G12">
        <v>2.911111111111111</v>
      </c>
      <c r="I12">
        <v>0.67</v>
      </c>
      <c r="J12">
        <v>0.83</v>
      </c>
      <c r="K12">
        <v>0.28000000000000003</v>
      </c>
      <c r="L12">
        <v>0.91</v>
      </c>
      <c r="Z12">
        <v>1.466387957511218</v>
      </c>
    </row>
    <row r="13" spans="1:26" x14ac:dyDescent="0.2">
      <c r="A13">
        <v>12</v>
      </c>
      <c r="B13">
        <v>1</v>
      </c>
      <c r="C13">
        <v>23</v>
      </c>
      <c r="D13" t="s">
        <v>3</v>
      </c>
      <c r="E13" t="s">
        <v>2</v>
      </c>
      <c r="G13">
        <v>2.4988888888888892</v>
      </c>
      <c r="I13">
        <v>0.23</v>
      </c>
      <c r="J13">
        <v>0.18</v>
      </c>
      <c r="K13">
        <v>0.8</v>
      </c>
      <c r="L13">
        <v>0.97</v>
      </c>
      <c r="Z13">
        <v>1.555043117457144</v>
      </c>
    </row>
    <row r="14" spans="1:26" x14ac:dyDescent="0.2">
      <c r="A14">
        <v>13</v>
      </c>
      <c r="B14">
        <v>1</v>
      </c>
      <c r="C14">
        <v>23</v>
      </c>
      <c r="D14" t="s">
        <v>3</v>
      </c>
      <c r="E14" t="s">
        <v>2</v>
      </c>
      <c r="G14">
        <v>2.4725000000000001</v>
      </c>
      <c r="I14">
        <v>0.73</v>
      </c>
      <c r="J14">
        <v>0.76</v>
      </c>
      <c r="K14">
        <v>0.28000000000000003</v>
      </c>
      <c r="L14">
        <v>0.9</v>
      </c>
      <c r="Z14">
        <v>1.3212441043762659</v>
      </c>
    </row>
    <row r="15" spans="1:26" x14ac:dyDescent="0.2">
      <c r="A15">
        <v>14</v>
      </c>
      <c r="B15">
        <v>1</v>
      </c>
      <c r="C15">
        <v>23</v>
      </c>
      <c r="D15" t="s">
        <v>1</v>
      </c>
      <c r="E15" t="s">
        <v>2</v>
      </c>
      <c r="G15">
        <v>2.6836111111111109</v>
      </c>
      <c r="I15">
        <v>0.56000000000000005</v>
      </c>
      <c r="J15">
        <v>0.4</v>
      </c>
      <c r="K15">
        <v>0.16</v>
      </c>
      <c r="L15">
        <v>0.9</v>
      </c>
      <c r="Z15">
        <v>1.5344113045499701</v>
      </c>
    </row>
    <row r="16" spans="1:26" x14ac:dyDescent="0.2">
      <c r="A16">
        <v>15</v>
      </c>
      <c r="B16">
        <v>1</v>
      </c>
      <c r="C16">
        <v>21</v>
      </c>
      <c r="D16" t="s">
        <v>3</v>
      </c>
      <c r="E16" t="s">
        <v>4</v>
      </c>
      <c r="F16" t="str">
        <f>IF(V16&gt;11,"high","low")</f>
        <v>high</v>
      </c>
      <c r="G16">
        <v>4.0569444444444436</v>
      </c>
      <c r="H16">
        <v>2</v>
      </c>
      <c r="I16">
        <v>0.51</v>
      </c>
      <c r="J16">
        <v>0.49</v>
      </c>
      <c r="K16">
        <v>0.2</v>
      </c>
      <c r="L16">
        <v>0.9</v>
      </c>
      <c r="M16">
        <v>0.83</v>
      </c>
      <c r="N16">
        <v>0.88</v>
      </c>
      <c r="O16">
        <v>0.93</v>
      </c>
      <c r="P16">
        <v>0.87</v>
      </c>
      <c r="Q16">
        <v>0.8</v>
      </c>
      <c r="R16">
        <v>0.73</v>
      </c>
      <c r="S16">
        <v>276</v>
      </c>
      <c r="T16">
        <v>9.1999999999999993</v>
      </c>
      <c r="U16">
        <v>9</v>
      </c>
      <c r="V16">
        <v>48</v>
      </c>
      <c r="W16">
        <v>1.6</v>
      </c>
      <c r="X16">
        <v>1</v>
      </c>
      <c r="Y16">
        <v>10</v>
      </c>
      <c r="Z16">
        <v>1.399359098539066</v>
      </c>
    </row>
    <row r="17" spans="1:26" x14ac:dyDescent="0.2">
      <c r="A17">
        <v>16</v>
      </c>
      <c r="B17">
        <v>1</v>
      </c>
      <c r="C17">
        <v>24</v>
      </c>
      <c r="D17" t="s">
        <v>3</v>
      </c>
      <c r="E17" t="s">
        <v>4</v>
      </c>
      <c r="F17" t="str">
        <f>IF(V17&gt;11,"high","low")</f>
        <v>low</v>
      </c>
      <c r="G17">
        <v>3.851666666666667</v>
      </c>
      <c r="H17">
        <v>8</v>
      </c>
      <c r="I17">
        <v>0.73</v>
      </c>
      <c r="J17">
        <v>0.64</v>
      </c>
      <c r="K17">
        <v>0.8</v>
      </c>
      <c r="L17">
        <v>0.98</v>
      </c>
      <c r="M17">
        <v>0.97</v>
      </c>
      <c r="N17">
        <v>0.98</v>
      </c>
      <c r="O17">
        <v>1</v>
      </c>
      <c r="P17">
        <v>1</v>
      </c>
      <c r="Q17">
        <v>0.95</v>
      </c>
      <c r="R17">
        <v>0.9</v>
      </c>
      <c r="S17">
        <v>586</v>
      </c>
      <c r="T17">
        <v>19.53</v>
      </c>
      <c r="U17">
        <v>19.5</v>
      </c>
      <c r="V17">
        <v>4</v>
      </c>
      <c r="W17">
        <v>0.13</v>
      </c>
      <c r="X17">
        <v>0</v>
      </c>
      <c r="Y17">
        <v>17</v>
      </c>
      <c r="Z17">
        <v>1.2711681790314919</v>
      </c>
    </row>
    <row r="18" spans="1:26" x14ac:dyDescent="0.2">
      <c r="A18">
        <v>17</v>
      </c>
      <c r="B18">
        <v>1</v>
      </c>
      <c r="C18">
        <v>40</v>
      </c>
      <c r="D18" t="s">
        <v>3</v>
      </c>
      <c r="E18" t="s">
        <v>4</v>
      </c>
      <c r="F18" t="str">
        <f>IF(V18&gt;11,"high","low")</f>
        <v>low</v>
      </c>
      <c r="G18">
        <v>3.7322222222222221</v>
      </c>
      <c r="H18">
        <v>6</v>
      </c>
      <c r="I18">
        <v>0.65</v>
      </c>
      <c r="J18">
        <v>0.65</v>
      </c>
      <c r="K18">
        <v>0.56000000000000005</v>
      </c>
      <c r="L18">
        <v>0.94</v>
      </c>
      <c r="M18">
        <v>0.83</v>
      </c>
      <c r="N18">
        <v>0.9</v>
      </c>
      <c r="O18">
        <v>0.97</v>
      </c>
      <c r="P18">
        <v>0.83</v>
      </c>
      <c r="Q18">
        <v>0.86</v>
      </c>
      <c r="R18">
        <v>0.9</v>
      </c>
      <c r="S18">
        <v>364</v>
      </c>
      <c r="T18">
        <v>12.13</v>
      </c>
      <c r="U18">
        <v>12</v>
      </c>
      <c r="V18">
        <v>0</v>
      </c>
      <c r="W18">
        <v>0</v>
      </c>
      <c r="X18">
        <v>0</v>
      </c>
      <c r="Y18">
        <v>6</v>
      </c>
      <c r="Z18">
        <v>1.389682048494838</v>
      </c>
    </row>
    <row r="19" spans="1:26" x14ac:dyDescent="0.2">
      <c r="A19">
        <v>18</v>
      </c>
      <c r="B19">
        <v>1</v>
      </c>
      <c r="C19">
        <v>25</v>
      </c>
      <c r="D19" t="s">
        <v>1</v>
      </c>
      <c r="E19" t="s">
        <v>4</v>
      </c>
      <c r="F19" t="str">
        <f>IF(V19&gt;11,"high","low")</f>
        <v>high</v>
      </c>
      <c r="G19">
        <v>3.2174999999999998</v>
      </c>
      <c r="H19">
        <v>6</v>
      </c>
      <c r="I19">
        <v>0.81</v>
      </c>
      <c r="J19">
        <v>0.67</v>
      </c>
      <c r="K19">
        <v>0.8</v>
      </c>
      <c r="L19">
        <v>0.98</v>
      </c>
      <c r="M19">
        <v>0.97</v>
      </c>
      <c r="N19">
        <v>0.98</v>
      </c>
      <c r="O19">
        <v>1</v>
      </c>
      <c r="P19">
        <v>0.97</v>
      </c>
      <c r="Q19">
        <v>0.98</v>
      </c>
      <c r="R19">
        <v>1</v>
      </c>
      <c r="S19">
        <v>579</v>
      </c>
      <c r="T19">
        <v>19.3</v>
      </c>
      <c r="U19">
        <v>17.5</v>
      </c>
      <c r="V19">
        <v>21</v>
      </c>
      <c r="W19">
        <v>0.7</v>
      </c>
      <c r="X19">
        <v>0</v>
      </c>
      <c r="Y19">
        <v>316</v>
      </c>
      <c r="Z19">
        <v>1.80876626755342</v>
      </c>
    </row>
    <row r="20" spans="1:26" x14ac:dyDescent="0.2">
      <c r="A20">
        <v>19</v>
      </c>
      <c r="B20">
        <v>1</v>
      </c>
      <c r="C20">
        <v>29</v>
      </c>
      <c r="D20" t="s">
        <v>1</v>
      </c>
      <c r="E20" t="s">
        <v>4</v>
      </c>
      <c r="F20" t="str">
        <f>IF(V20&gt;11,"high","low")</f>
        <v>low</v>
      </c>
      <c r="G20">
        <v>2.5750000000000002</v>
      </c>
      <c r="H20">
        <v>4</v>
      </c>
      <c r="I20">
        <v>0.53</v>
      </c>
      <c r="J20">
        <v>0.47</v>
      </c>
      <c r="K20">
        <v>0.12</v>
      </c>
      <c r="L20">
        <v>0.9</v>
      </c>
      <c r="M20">
        <v>0.97</v>
      </c>
      <c r="N20">
        <v>0.97</v>
      </c>
      <c r="O20">
        <v>0.97</v>
      </c>
      <c r="P20">
        <v>0.97</v>
      </c>
      <c r="Q20">
        <v>0.98</v>
      </c>
      <c r="R20">
        <v>1</v>
      </c>
      <c r="S20">
        <v>459</v>
      </c>
      <c r="T20">
        <v>15.3</v>
      </c>
      <c r="U20">
        <v>15.5</v>
      </c>
      <c r="V20">
        <v>5</v>
      </c>
      <c r="W20">
        <v>0.17</v>
      </c>
      <c r="X20">
        <v>0</v>
      </c>
      <c r="Y20">
        <v>238</v>
      </c>
      <c r="Z20">
        <v>1.2895294258282519</v>
      </c>
    </row>
    <row r="21" spans="1:26" x14ac:dyDescent="0.2">
      <c r="A21">
        <v>20</v>
      </c>
      <c r="B21">
        <v>0</v>
      </c>
      <c r="C21">
        <v>36</v>
      </c>
      <c r="D21" t="s">
        <v>1</v>
      </c>
      <c r="E21" t="s">
        <v>4</v>
      </c>
      <c r="F21" t="str">
        <f>IF(V21&gt;11,"high","low")</f>
        <v>low</v>
      </c>
      <c r="G21">
        <v>3.866944444444445</v>
      </c>
      <c r="H21">
        <v>5</v>
      </c>
      <c r="I21">
        <v>0.65</v>
      </c>
      <c r="J21">
        <v>0.74</v>
      </c>
      <c r="K21">
        <v>0.24</v>
      </c>
      <c r="L21">
        <v>0.88</v>
      </c>
      <c r="M21">
        <v>0.93</v>
      </c>
      <c r="N21">
        <v>0.93</v>
      </c>
      <c r="O21">
        <v>0.93</v>
      </c>
      <c r="P21">
        <v>0.9</v>
      </c>
      <c r="Q21">
        <v>0.9</v>
      </c>
      <c r="R21">
        <v>0.9</v>
      </c>
      <c r="S21">
        <v>387</v>
      </c>
      <c r="T21">
        <v>12.9</v>
      </c>
      <c r="U21">
        <v>13</v>
      </c>
      <c r="V21">
        <v>4</v>
      </c>
      <c r="W21">
        <v>0.13</v>
      </c>
      <c r="X21">
        <v>0</v>
      </c>
      <c r="Y21">
        <v>60</v>
      </c>
      <c r="Z21">
        <v>1.777792641551472</v>
      </c>
    </row>
    <row r="22" spans="1:26" x14ac:dyDescent="0.2">
      <c r="A22">
        <v>21</v>
      </c>
      <c r="B22">
        <v>1</v>
      </c>
      <c r="C22">
        <v>31</v>
      </c>
      <c r="D22" t="s">
        <v>3</v>
      </c>
      <c r="E22" t="s">
        <v>4</v>
      </c>
      <c r="F22" t="str">
        <f>IF(V22&gt;11,"high","low")</f>
        <v>high</v>
      </c>
      <c r="G22">
        <v>3.298055555555556</v>
      </c>
      <c r="H22">
        <v>8</v>
      </c>
      <c r="I22">
        <v>0.79</v>
      </c>
      <c r="J22">
        <v>0.65</v>
      </c>
      <c r="K22">
        <v>0.28000000000000003</v>
      </c>
      <c r="L22">
        <v>0.91</v>
      </c>
      <c r="M22">
        <v>0.9</v>
      </c>
      <c r="N22">
        <v>0.9</v>
      </c>
      <c r="O22">
        <v>0.9</v>
      </c>
      <c r="P22">
        <v>0.87</v>
      </c>
      <c r="Q22">
        <v>0.9</v>
      </c>
      <c r="R22">
        <v>0.93</v>
      </c>
      <c r="S22">
        <v>419</v>
      </c>
      <c r="T22">
        <v>13.97</v>
      </c>
      <c r="U22">
        <v>12.5</v>
      </c>
      <c r="V22">
        <v>13</v>
      </c>
      <c r="W22">
        <v>0.43</v>
      </c>
      <c r="X22">
        <v>0</v>
      </c>
      <c r="Y22">
        <v>14</v>
      </c>
      <c r="Z22">
        <v>1.3711957414179221</v>
      </c>
    </row>
    <row r="23" spans="1:26" x14ac:dyDescent="0.2">
      <c r="A23">
        <v>22</v>
      </c>
      <c r="B23">
        <v>1</v>
      </c>
      <c r="C23">
        <v>23</v>
      </c>
      <c r="D23" t="s">
        <v>3</v>
      </c>
      <c r="E23" t="s">
        <v>4</v>
      </c>
      <c r="F23" t="str">
        <f>IF(V23&gt;11,"high","low")</f>
        <v>low</v>
      </c>
      <c r="G23">
        <v>2.6791666666666671</v>
      </c>
      <c r="H23">
        <v>5</v>
      </c>
      <c r="I23">
        <v>0.68</v>
      </c>
      <c r="J23">
        <v>0.6</v>
      </c>
      <c r="K23">
        <v>0.16</v>
      </c>
      <c r="L23">
        <v>0.85</v>
      </c>
      <c r="M23">
        <v>0.93</v>
      </c>
      <c r="N23">
        <v>0.95</v>
      </c>
      <c r="O23">
        <v>0.97</v>
      </c>
      <c r="P23">
        <v>0.9</v>
      </c>
      <c r="Q23">
        <v>0.92</v>
      </c>
      <c r="R23">
        <v>0.93</v>
      </c>
      <c r="S23">
        <v>343</v>
      </c>
      <c r="T23">
        <v>11.43</v>
      </c>
      <c r="U23">
        <v>11</v>
      </c>
      <c r="V23">
        <v>0</v>
      </c>
      <c r="W23">
        <v>0</v>
      </c>
      <c r="X23">
        <v>0</v>
      </c>
      <c r="Y23">
        <v>62</v>
      </c>
      <c r="Z23">
        <v>1.4693409513232241</v>
      </c>
    </row>
    <row r="24" spans="1:26" x14ac:dyDescent="0.2">
      <c r="A24">
        <v>23</v>
      </c>
      <c r="B24">
        <v>1</v>
      </c>
      <c r="C24">
        <v>23</v>
      </c>
      <c r="D24" t="s">
        <v>3</v>
      </c>
      <c r="E24" t="s">
        <v>4</v>
      </c>
      <c r="F24" t="str">
        <f>IF(V24&gt;11,"high","low")</f>
        <v>low</v>
      </c>
      <c r="G24">
        <v>3.0822222222222222</v>
      </c>
      <c r="H24">
        <v>11</v>
      </c>
      <c r="I24">
        <v>0.6</v>
      </c>
      <c r="J24">
        <v>0.5</v>
      </c>
      <c r="K24">
        <v>0.2</v>
      </c>
      <c r="L24">
        <v>0.84</v>
      </c>
      <c r="M24">
        <v>1</v>
      </c>
      <c r="N24">
        <v>1</v>
      </c>
      <c r="O24">
        <v>1</v>
      </c>
      <c r="P24">
        <v>0.93</v>
      </c>
      <c r="Q24">
        <v>0.95</v>
      </c>
      <c r="R24">
        <v>0.97</v>
      </c>
      <c r="S24">
        <v>381</v>
      </c>
      <c r="T24">
        <v>12.7</v>
      </c>
      <c r="U24">
        <v>12</v>
      </c>
      <c r="V24">
        <v>3</v>
      </c>
      <c r="W24">
        <v>0.1</v>
      </c>
      <c r="X24">
        <v>0</v>
      </c>
      <c r="Y24">
        <v>30</v>
      </c>
      <c r="Z24">
        <v>1.318682957026666</v>
      </c>
    </row>
    <row r="25" spans="1:26" x14ac:dyDescent="0.2">
      <c r="A25">
        <v>24</v>
      </c>
      <c r="B25">
        <v>1</v>
      </c>
      <c r="C25">
        <v>23</v>
      </c>
      <c r="D25" t="s">
        <v>3</v>
      </c>
      <c r="E25" t="s">
        <v>4</v>
      </c>
      <c r="F25" t="str">
        <f>IF(V25&gt;11,"high","low")</f>
        <v>low</v>
      </c>
      <c r="G25">
        <v>2.6944444444444442</v>
      </c>
      <c r="H25">
        <v>5</v>
      </c>
      <c r="I25">
        <v>0.81</v>
      </c>
      <c r="J25">
        <v>0.76</v>
      </c>
      <c r="K25">
        <v>0.4</v>
      </c>
      <c r="L25">
        <v>0.91</v>
      </c>
      <c r="M25">
        <v>1</v>
      </c>
      <c r="N25">
        <v>1</v>
      </c>
      <c r="O25">
        <v>1</v>
      </c>
      <c r="P25">
        <v>1</v>
      </c>
      <c r="Q25">
        <v>0.98</v>
      </c>
      <c r="R25">
        <v>0.97</v>
      </c>
      <c r="S25">
        <v>711</v>
      </c>
      <c r="T25">
        <v>23.7</v>
      </c>
      <c r="U25">
        <v>22</v>
      </c>
      <c r="V25">
        <v>1</v>
      </c>
      <c r="W25">
        <v>0.03</v>
      </c>
      <c r="X25">
        <v>0</v>
      </c>
      <c r="Y25">
        <v>126</v>
      </c>
      <c r="Z25">
        <v>1.4188503380778019</v>
      </c>
    </row>
    <row r="26" spans="1:26" x14ac:dyDescent="0.2">
      <c r="A26">
        <v>25</v>
      </c>
      <c r="B26">
        <v>1</v>
      </c>
      <c r="C26">
        <v>25</v>
      </c>
      <c r="D26" t="s">
        <v>3</v>
      </c>
      <c r="E26" t="s">
        <v>4</v>
      </c>
      <c r="F26" t="str">
        <f>IF(V26&gt;11,"high","low")</f>
        <v>high</v>
      </c>
      <c r="G26">
        <v>2.7802777777777781</v>
      </c>
      <c r="H26">
        <v>6</v>
      </c>
      <c r="I26">
        <v>0.56000000000000005</v>
      </c>
      <c r="J26">
        <v>0.71</v>
      </c>
      <c r="K26">
        <v>0.44</v>
      </c>
      <c r="L26">
        <v>0.88</v>
      </c>
      <c r="M26">
        <v>0.87</v>
      </c>
      <c r="N26">
        <v>0.88</v>
      </c>
      <c r="O26">
        <v>0.9</v>
      </c>
      <c r="P26">
        <v>0.9</v>
      </c>
      <c r="Q26">
        <v>0.84</v>
      </c>
      <c r="R26">
        <v>0.77</v>
      </c>
      <c r="S26">
        <v>552</v>
      </c>
      <c r="T26">
        <v>18.399999999999999</v>
      </c>
      <c r="U26">
        <v>14.5</v>
      </c>
      <c r="V26">
        <v>75</v>
      </c>
      <c r="W26">
        <v>2.5</v>
      </c>
      <c r="X26">
        <v>1</v>
      </c>
      <c r="Y26">
        <v>53</v>
      </c>
      <c r="Z26">
        <v>1.549855068478472</v>
      </c>
    </row>
    <row r="27" spans="1:26" x14ac:dyDescent="0.2">
      <c r="A27">
        <v>26</v>
      </c>
      <c r="B27">
        <v>1</v>
      </c>
      <c r="C27">
        <v>38</v>
      </c>
      <c r="D27" t="s">
        <v>3</v>
      </c>
      <c r="E27" t="s">
        <v>4</v>
      </c>
      <c r="F27" t="str">
        <f>IF(V27&gt;11,"high","low")</f>
        <v>low</v>
      </c>
      <c r="G27">
        <v>2.2602777777777781</v>
      </c>
      <c r="H27">
        <v>6</v>
      </c>
      <c r="I27">
        <v>0.74</v>
      </c>
      <c r="J27">
        <v>0.67</v>
      </c>
      <c r="K27">
        <v>0.32</v>
      </c>
      <c r="L27">
        <v>0.82</v>
      </c>
      <c r="M27">
        <v>0.9</v>
      </c>
      <c r="N27">
        <v>0.86</v>
      </c>
      <c r="O27">
        <v>0.83</v>
      </c>
      <c r="P27">
        <v>0.8</v>
      </c>
      <c r="Q27">
        <v>0.84</v>
      </c>
      <c r="R27">
        <v>0.87</v>
      </c>
      <c r="S27">
        <v>393</v>
      </c>
      <c r="T27">
        <v>13.1</v>
      </c>
      <c r="U27">
        <v>14</v>
      </c>
      <c r="V27">
        <v>0</v>
      </c>
      <c r="W27">
        <v>0</v>
      </c>
      <c r="X27">
        <v>0</v>
      </c>
      <c r="Y27">
        <v>20</v>
      </c>
      <c r="Z27">
        <v>1.288711811324182</v>
      </c>
    </row>
    <row r="28" spans="1:26" x14ac:dyDescent="0.2">
      <c r="A28">
        <v>27</v>
      </c>
      <c r="B28">
        <v>1</v>
      </c>
      <c r="C28">
        <v>24</v>
      </c>
      <c r="D28" t="s">
        <v>3</v>
      </c>
      <c r="E28" t="s">
        <v>4</v>
      </c>
      <c r="F28" t="str">
        <f>IF(V28&gt;11,"high","low")</f>
        <v>high</v>
      </c>
      <c r="G28">
        <v>2.855833333333333</v>
      </c>
      <c r="H28">
        <v>13</v>
      </c>
      <c r="I28">
        <v>0.83</v>
      </c>
      <c r="J28">
        <v>0.81</v>
      </c>
      <c r="K28">
        <v>0.2</v>
      </c>
      <c r="L28">
        <v>0.87</v>
      </c>
      <c r="M28">
        <v>0.87</v>
      </c>
      <c r="N28">
        <v>0.92</v>
      </c>
      <c r="O28">
        <v>0.97</v>
      </c>
      <c r="P28">
        <v>0.87</v>
      </c>
      <c r="Q28">
        <v>0.92</v>
      </c>
      <c r="R28">
        <v>0.97</v>
      </c>
      <c r="S28">
        <v>551</v>
      </c>
      <c r="T28">
        <v>18.37</v>
      </c>
      <c r="U28">
        <v>23</v>
      </c>
      <c r="V28">
        <v>80</v>
      </c>
      <c r="W28">
        <v>2.67</v>
      </c>
      <c r="X28">
        <v>2</v>
      </c>
      <c r="Y28">
        <v>55</v>
      </c>
      <c r="Z28">
        <v>1.327767446578608</v>
      </c>
    </row>
    <row r="29" spans="1:26" x14ac:dyDescent="0.2">
      <c r="A29">
        <v>28</v>
      </c>
      <c r="B29">
        <v>1</v>
      </c>
      <c r="C29">
        <v>31</v>
      </c>
      <c r="D29" t="s">
        <v>1</v>
      </c>
      <c r="E29" t="s">
        <v>4</v>
      </c>
      <c r="F29" t="str">
        <f>IF(V29&gt;11,"high","low")</f>
        <v>high</v>
      </c>
      <c r="G29">
        <v>2.4972222222222218</v>
      </c>
      <c r="H29">
        <v>3</v>
      </c>
      <c r="I29">
        <v>0.72</v>
      </c>
      <c r="J29">
        <v>0.6</v>
      </c>
      <c r="K29">
        <v>0.8</v>
      </c>
      <c r="L29">
        <v>0.94</v>
      </c>
      <c r="M29">
        <v>0.73</v>
      </c>
      <c r="N29">
        <v>0.81</v>
      </c>
      <c r="O29">
        <v>0.9</v>
      </c>
      <c r="P29">
        <v>0.77</v>
      </c>
      <c r="Q29">
        <v>0.74</v>
      </c>
      <c r="R29">
        <v>0.7</v>
      </c>
      <c r="S29">
        <v>694</v>
      </c>
      <c r="T29">
        <v>23.13</v>
      </c>
      <c r="U29">
        <v>21.5</v>
      </c>
      <c r="V29">
        <v>89</v>
      </c>
      <c r="W29">
        <v>2.97</v>
      </c>
      <c r="X29">
        <v>2</v>
      </c>
      <c r="Y29">
        <v>137</v>
      </c>
      <c r="Z29">
        <v>1.672563497882998</v>
      </c>
    </row>
    <row r="30" spans="1:26" x14ac:dyDescent="0.2">
      <c r="A30">
        <v>29</v>
      </c>
      <c r="B30">
        <v>1</v>
      </c>
      <c r="C30">
        <v>25</v>
      </c>
      <c r="D30" t="s">
        <v>1</v>
      </c>
      <c r="E30" t="s">
        <v>4</v>
      </c>
      <c r="F30" t="str">
        <f>IF(V30&gt;11,"high","low")</f>
        <v>high</v>
      </c>
      <c r="G30">
        <v>2.5827777777777778</v>
      </c>
      <c r="H30">
        <v>6</v>
      </c>
      <c r="I30">
        <v>0.79</v>
      </c>
      <c r="J30">
        <v>0.62</v>
      </c>
      <c r="K30">
        <v>0.2</v>
      </c>
      <c r="L30">
        <v>0.91</v>
      </c>
      <c r="M30">
        <v>1</v>
      </c>
      <c r="N30">
        <v>0.97</v>
      </c>
      <c r="O30">
        <v>0.93</v>
      </c>
      <c r="P30">
        <v>0.87</v>
      </c>
      <c r="Q30">
        <v>0.92</v>
      </c>
      <c r="R30">
        <v>0.97</v>
      </c>
      <c r="S30">
        <v>528</v>
      </c>
      <c r="T30">
        <v>17.600000000000001</v>
      </c>
      <c r="U30">
        <v>17</v>
      </c>
      <c r="V30">
        <v>14</v>
      </c>
      <c r="W30">
        <v>0.47</v>
      </c>
      <c r="X30">
        <v>0</v>
      </c>
      <c r="Y30">
        <v>193</v>
      </c>
      <c r="Z30">
        <v>1.4869809899248361</v>
      </c>
    </row>
    <row r="31" spans="1:26" x14ac:dyDescent="0.2">
      <c r="A31">
        <v>30</v>
      </c>
      <c r="B31">
        <v>1</v>
      </c>
      <c r="C31">
        <v>22</v>
      </c>
      <c r="D31" t="s">
        <v>1</v>
      </c>
      <c r="E31" t="s">
        <v>5</v>
      </c>
      <c r="F31" t="str">
        <f>IF(V31&gt;11,"high","low")</f>
        <v>low</v>
      </c>
      <c r="G31">
        <v>4.3466666666666667</v>
      </c>
      <c r="H31">
        <v>7</v>
      </c>
      <c r="I31">
        <v>0.69</v>
      </c>
      <c r="J31">
        <v>0.65</v>
      </c>
      <c r="K31">
        <v>0.24</v>
      </c>
      <c r="L31">
        <v>0.89</v>
      </c>
      <c r="M31">
        <v>0.93</v>
      </c>
      <c r="N31">
        <v>0.86</v>
      </c>
      <c r="O31">
        <v>0.8</v>
      </c>
      <c r="P31">
        <v>0.97</v>
      </c>
      <c r="Q31">
        <v>0.87</v>
      </c>
      <c r="R31">
        <v>0.77</v>
      </c>
      <c r="S31">
        <v>750</v>
      </c>
      <c r="T31">
        <v>25</v>
      </c>
      <c r="U31">
        <v>20</v>
      </c>
      <c r="V31">
        <v>8</v>
      </c>
      <c r="W31">
        <v>0.27</v>
      </c>
      <c r="X31">
        <v>0</v>
      </c>
      <c r="Y31">
        <v>134</v>
      </c>
      <c r="Z31">
        <v>1.672043821105182</v>
      </c>
    </row>
    <row r="32" spans="1:26" x14ac:dyDescent="0.2">
      <c r="A32">
        <v>31</v>
      </c>
      <c r="B32">
        <v>0</v>
      </c>
      <c r="C32">
        <v>28</v>
      </c>
      <c r="D32" t="s">
        <v>3</v>
      </c>
      <c r="E32" t="s">
        <v>5</v>
      </c>
      <c r="F32" t="str">
        <f>IF(V32&gt;11,"high","low")</f>
        <v>high</v>
      </c>
      <c r="G32">
        <v>3.3838888888888889</v>
      </c>
      <c r="H32">
        <v>6</v>
      </c>
      <c r="I32">
        <v>0.82</v>
      </c>
      <c r="J32">
        <v>0.67</v>
      </c>
      <c r="K32">
        <v>0.4</v>
      </c>
      <c r="L32">
        <v>0.9</v>
      </c>
      <c r="M32">
        <v>0.7</v>
      </c>
      <c r="N32">
        <v>0.75</v>
      </c>
      <c r="O32">
        <v>0.8</v>
      </c>
      <c r="P32">
        <v>0.63</v>
      </c>
      <c r="Q32">
        <v>0.7</v>
      </c>
      <c r="R32">
        <v>0.77</v>
      </c>
      <c r="S32">
        <v>413</v>
      </c>
      <c r="T32">
        <v>13.77</v>
      </c>
      <c r="U32">
        <v>13.5</v>
      </c>
      <c r="V32">
        <v>85</v>
      </c>
      <c r="W32">
        <v>2.83</v>
      </c>
      <c r="X32">
        <v>2</v>
      </c>
      <c r="Y32">
        <v>120</v>
      </c>
      <c r="Z32">
        <v>1.3027876319413481</v>
      </c>
    </row>
    <row r="33" spans="1:26" x14ac:dyDescent="0.2">
      <c r="A33">
        <v>32</v>
      </c>
      <c r="B33">
        <v>1</v>
      </c>
      <c r="C33">
        <v>20</v>
      </c>
      <c r="D33" t="s">
        <v>3</v>
      </c>
      <c r="E33" t="s">
        <v>5</v>
      </c>
      <c r="F33" t="str">
        <f>IF(V33&gt;11,"high","low")</f>
        <v>high</v>
      </c>
      <c r="G33">
        <v>3.1688888888888891</v>
      </c>
      <c r="H33">
        <v>6</v>
      </c>
      <c r="I33">
        <v>0.9</v>
      </c>
      <c r="J33">
        <v>0.91</v>
      </c>
      <c r="K33">
        <v>0.24</v>
      </c>
      <c r="L33">
        <v>0.91</v>
      </c>
      <c r="M33">
        <v>0.87</v>
      </c>
      <c r="N33">
        <v>0.85</v>
      </c>
      <c r="O33">
        <v>0.83</v>
      </c>
      <c r="P33">
        <v>0.73</v>
      </c>
      <c r="Q33">
        <v>0.8</v>
      </c>
      <c r="R33">
        <v>0.87</v>
      </c>
      <c r="S33">
        <v>498</v>
      </c>
      <c r="T33">
        <v>16.600000000000001</v>
      </c>
      <c r="U33">
        <v>16</v>
      </c>
      <c r="V33">
        <v>43</v>
      </c>
      <c r="W33">
        <v>1.43</v>
      </c>
      <c r="X33">
        <v>1</v>
      </c>
      <c r="Y33">
        <v>199</v>
      </c>
      <c r="Z33">
        <v>1.364559191053478</v>
      </c>
    </row>
    <row r="34" spans="1:26" x14ac:dyDescent="0.2">
      <c r="A34">
        <v>33</v>
      </c>
      <c r="B34">
        <v>1</v>
      </c>
      <c r="C34">
        <v>24</v>
      </c>
      <c r="D34" t="s">
        <v>3</v>
      </c>
      <c r="E34" t="s">
        <v>5</v>
      </c>
      <c r="F34" t="str">
        <f>IF(V34&gt;11,"high","low")</f>
        <v>low</v>
      </c>
      <c r="G34">
        <v>3.0422222222222222</v>
      </c>
      <c r="H34">
        <v>6</v>
      </c>
      <c r="I34">
        <v>0.67</v>
      </c>
      <c r="J34">
        <v>0.78</v>
      </c>
      <c r="K34">
        <v>0.64</v>
      </c>
      <c r="L34">
        <v>0.96</v>
      </c>
      <c r="M34">
        <v>0.93</v>
      </c>
      <c r="N34">
        <v>0.95</v>
      </c>
      <c r="O34">
        <v>0.97</v>
      </c>
      <c r="P34">
        <v>1</v>
      </c>
      <c r="Q34">
        <v>0.98</v>
      </c>
      <c r="R34">
        <v>0.97</v>
      </c>
      <c r="S34">
        <v>296</v>
      </c>
      <c r="T34">
        <v>9.8699999999999992</v>
      </c>
      <c r="U34">
        <v>9.5</v>
      </c>
      <c r="V34">
        <v>0</v>
      </c>
      <c r="W34">
        <v>0</v>
      </c>
      <c r="X34">
        <v>0</v>
      </c>
      <c r="Y34">
        <v>131</v>
      </c>
      <c r="Z34">
        <v>1.39773980858624</v>
      </c>
    </row>
    <row r="35" spans="1:26" x14ac:dyDescent="0.2">
      <c r="A35">
        <v>34</v>
      </c>
      <c r="B35">
        <v>1</v>
      </c>
      <c r="C35">
        <v>27</v>
      </c>
      <c r="D35" t="s">
        <v>3</v>
      </c>
      <c r="E35" t="s">
        <v>5</v>
      </c>
      <c r="F35" t="str">
        <f>IF(V35&gt;11,"high","low")</f>
        <v>low</v>
      </c>
      <c r="G35">
        <v>3.1588888888888889</v>
      </c>
      <c r="H35">
        <v>5</v>
      </c>
      <c r="I35">
        <v>0.64</v>
      </c>
      <c r="J35">
        <v>0.67</v>
      </c>
      <c r="K35">
        <v>0.28000000000000003</v>
      </c>
      <c r="L35">
        <v>0.88</v>
      </c>
      <c r="M35">
        <v>0.8</v>
      </c>
      <c r="N35">
        <v>0.76</v>
      </c>
      <c r="O35">
        <v>0.73</v>
      </c>
      <c r="P35">
        <v>0.83</v>
      </c>
      <c r="Q35">
        <v>0.9</v>
      </c>
      <c r="R35">
        <v>0.97</v>
      </c>
      <c r="S35">
        <v>255</v>
      </c>
      <c r="T35">
        <v>8.5</v>
      </c>
      <c r="U35">
        <v>8.5</v>
      </c>
      <c r="V35">
        <v>7</v>
      </c>
      <c r="W35">
        <v>0.23</v>
      </c>
      <c r="X35">
        <v>0</v>
      </c>
      <c r="Y35">
        <v>106</v>
      </c>
      <c r="Z35">
        <v>1.3776201797385721</v>
      </c>
    </row>
    <row r="36" spans="1:26" x14ac:dyDescent="0.2">
      <c r="A36">
        <v>35</v>
      </c>
      <c r="B36">
        <v>1</v>
      </c>
      <c r="C36">
        <v>20</v>
      </c>
      <c r="D36" t="s">
        <v>3</v>
      </c>
      <c r="E36" t="s">
        <v>5</v>
      </c>
      <c r="F36" t="str">
        <f>IF(V36&gt;11,"high","low")</f>
        <v>high</v>
      </c>
      <c r="G36">
        <v>2.985555555555556</v>
      </c>
      <c r="I36">
        <v>0.71</v>
      </c>
      <c r="J36">
        <v>0.57999999999999996</v>
      </c>
      <c r="K36">
        <v>0.28000000000000003</v>
      </c>
      <c r="L36">
        <v>0.9</v>
      </c>
      <c r="M36">
        <v>0.9</v>
      </c>
      <c r="N36">
        <v>0.94</v>
      </c>
      <c r="O36">
        <v>0.97</v>
      </c>
      <c r="S36">
        <v>594</v>
      </c>
      <c r="T36">
        <v>19.8</v>
      </c>
      <c r="U36">
        <v>19</v>
      </c>
      <c r="V36">
        <v>26</v>
      </c>
      <c r="W36">
        <v>0.87</v>
      </c>
      <c r="X36">
        <v>1</v>
      </c>
      <c r="Y36">
        <v>169</v>
      </c>
      <c r="Z36">
        <v>1.3999643285368579</v>
      </c>
    </row>
    <row r="37" spans="1:26" x14ac:dyDescent="0.2">
      <c r="A37">
        <v>36</v>
      </c>
      <c r="B37">
        <v>0</v>
      </c>
      <c r="C37">
        <v>22</v>
      </c>
      <c r="D37" t="s">
        <v>3</v>
      </c>
      <c r="E37" t="s">
        <v>5</v>
      </c>
      <c r="F37" t="str">
        <f>IF(V37&gt;11,"high","low")</f>
        <v>low</v>
      </c>
      <c r="G37">
        <v>3.621944444444444</v>
      </c>
      <c r="H37">
        <v>7</v>
      </c>
      <c r="I37">
        <v>0.76</v>
      </c>
      <c r="J37">
        <v>0.6</v>
      </c>
      <c r="K37">
        <v>0.64</v>
      </c>
      <c r="L37">
        <v>0.96</v>
      </c>
      <c r="M37">
        <v>1</v>
      </c>
      <c r="N37">
        <v>1</v>
      </c>
      <c r="O37">
        <v>1</v>
      </c>
      <c r="P37">
        <v>0.97</v>
      </c>
      <c r="Q37">
        <v>0.97</v>
      </c>
      <c r="R37">
        <v>0.97</v>
      </c>
      <c r="S37">
        <v>563</v>
      </c>
      <c r="T37">
        <v>18.77</v>
      </c>
      <c r="U37">
        <v>17.5</v>
      </c>
      <c r="V37">
        <v>1</v>
      </c>
      <c r="W37">
        <v>0.03</v>
      </c>
      <c r="X37">
        <v>0</v>
      </c>
      <c r="Y37">
        <v>146</v>
      </c>
      <c r="Z37">
        <v>1.437610333719896</v>
      </c>
    </row>
    <row r="38" spans="1:26" x14ac:dyDescent="0.2">
      <c r="A38">
        <v>37</v>
      </c>
      <c r="B38">
        <v>1</v>
      </c>
      <c r="C38">
        <v>27</v>
      </c>
      <c r="D38" t="s">
        <v>3</v>
      </c>
      <c r="E38" t="s">
        <v>5</v>
      </c>
      <c r="F38" t="str">
        <f>IF(V38&gt;11,"high","low")</f>
        <v>low</v>
      </c>
      <c r="G38">
        <v>3.2811111111111111</v>
      </c>
      <c r="H38">
        <v>13</v>
      </c>
      <c r="I38">
        <v>0.78</v>
      </c>
      <c r="J38">
        <v>0.68</v>
      </c>
      <c r="K38">
        <v>0.56000000000000005</v>
      </c>
      <c r="L38">
        <v>0.93</v>
      </c>
      <c r="M38">
        <v>0.8</v>
      </c>
      <c r="N38">
        <v>0.84</v>
      </c>
      <c r="O38">
        <v>0.87</v>
      </c>
      <c r="P38">
        <v>0.77</v>
      </c>
      <c r="Q38">
        <v>0.84</v>
      </c>
      <c r="R38">
        <v>0.9</v>
      </c>
      <c r="S38">
        <v>704</v>
      </c>
      <c r="T38">
        <v>23.47</v>
      </c>
      <c r="U38">
        <v>20</v>
      </c>
      <c r="V38">
        <v>3</v>
      </c>
      <c r="W38">
        <v>0.1</v>
      </c>
      <c r="X38">
        <v>0</v>
      </c>
      <c r="Y38">
        <v>122</v>
      </c>
      <c r="Z38">
        <v>1.282590896210708</v>
      </c>
    </row>
    <row r="39" spans="1:26" x14ac:dyDescent="0.2">
      <c r="A39">
        <v>38</v>
      </c>
      <c r="B39">
        <v>1</v>
      </c>
      <c r="C39">
        <v>26</v>
      </c>
      <c r="D39" t="s">
        <v>1</v>
      </c>
      <c r="E39" t="s">
        <v>5</v>
      </c>
      <c r="F39" t="str">
        <f>IF(V39&gt;11,"high","low")</f>
        <v>high</v>
      </c>
      <c r="G39">
        <v>3.549722222222222</v>
      </c>
      <c r="H39">
        <v>6</v>
      </c>
      <c r="I39">
        <v>0.72</v>
      </c>
      <c r="J39">
        <v>0.64</v>
      </c>
      <c r="K39">
        <v>0.2</v>
      </c>
      <c r="L39">
        <v>0.89</v>
      </c>
      <c r="M39">
        <v>0.9</v>
      </c>
      <c r="N39">
        <v>0.92</v>
      </c>
      <c r="O39">
        <v>0.93</v>
      </c>
      <c r="P39">
        <v>0.8</v>
      </c>
      <c r="Q39">
        <v>0.8</v>
      </c>
      <c r="R39">
        <v>0.8</v>
      </c>
      <c r="S39">
        <v>503</v>
      </c>
      <c r="T39">
        <v>16.77</v>
      </c>
      <c r="U39">
        <v>17.5</v>
      </c>
      <c r="V39">
        <v>55</v>
      </c>
      <c r="W39">
        <v>1.83</v>
      </c>
      <c r="X39">
        <v>2</v>
      </c>
      <c r="Y39">
        <v>157</v>
      </c>
      <c r="Z39">
        <v>1.6117034620110899</v>
      </c>
    </row>
    <row r="40" spans="1:26" x14ac:dyDescent="0.2">
      <c r="A40">
        <v>39</v>
      </c>
      <c r="B40">
        <v>1</v>
      </c>
      <c r="C40">
        <v>39</v>
      </c>
      <c r="D40" t="s">
        <v>3</v>
      </c>
      <c r="E40" t="s">
        <v>5</v>
      </c>
      <c r="F40" t="str">
        <f>IF(V40&gt;11,"high","low")</f>
        <v>low</v>
      </c>
      <c r="G40">
        <v>2.6541666666666668</v>
      </c>
      <c r="H40">
        <v>7</v>
      </c>
      <c r="I40">
        <v>0.76</v>
      </c>
      <c r="J40">
        <v>0.81</v>
      </c>
      <c r="K40">
        <v>0.48</v>
      </c>
      <c r="L40">
        <v>0.91</v>
      </c>
      <c r="M40">
        <v>0.83</v>
      </c>
      <c r="N40">
        <v>0.88</v>
      </c>
      <c r="O40">
        <v>0.93</v>
      </c>
      <c r="P40">
        <v>0.83</v>
      </c>
      <c r="Q40">
        <v>0.86</v>
      </c>
      <c r="R40">
        <v>0.9</v>
      </c>
      <c r="S40">
        <v>426</v>
      </c>
      <c r="T40">
        <v>14.2</v>
      </c>
      <c r="U40">
        <v>12</v>
      </c>
      <c r="V40">
        <v>0</v>
      </c>
      <c r="W40">
        <v>0</v>
      </c>
      <c r="X40">
        <v>0</v>
      </c>
      <c r="Y40">
        <v>73</v>
      </c>
      <c r="Z40">
        <v>1.184395916491662</v>
      </c>
    </row>
    <row r="41" spans="1:26" x14ac:dyDescent="0.2">
      <c r="A41">
        <v>40</v>
      </c>
      <c r="B41">
        <v>1</v>
      </c>
      <c r="C41">
        <v>23</v>
      </c>
      <c r="D41" t="s">
        <v>1</v>
      </c>
      <c r="E41" t="s">
        <v>5</v>
      </c>
      <c r="F41" t="str">
        <f>IF(V41&gt;11,"high","low")</f>
        <v>high</v>
      </c>
      <c r="G41">
        <v>2.6244444444444439</v>
      </c>
      <c r="H41">
        <v>6</v>
      </c>
      <c r="I41">
        <v>0.63</v>
      </c>
      <c r="J41">
        <v>0.71</v>
      </c>
      <c r="K41">
        <v>0.48</v>
      </c>
      <c r="L41">
        <v>0.92</v>
      </c>
      <c r="M41">
        <v>0.9</v>
      </c>
      <c r="N41">
        <v>0.95</v>
      </c>
      <c r="O41">
        <v>1</v>
      </c>
      <c r="P41">
        <v>0.97</v>
      </c>
      <c r="Q41">
        <v>0.95</v>
      </c>
      <c r="R41">
        <v>0.93</v>
      </c>
      <c r="S41">
        <v>386</v>
      </c>
      <c r="T41">
        <v>12.87</v>
      </c>
      <c r="U41">
        <v>12</v>
      </c>
      <c r="V41">
        <v>113</v>
      </c>
      <c r="W41">
        <v>3.77</v>
      </c>
      <c r="X41">
        <v>3</v>
      </c>
      <c r="Y41">
        <v>215</v>
      </c>
      <c r="Z41">
        <v>1.44293225259904</v>
      </c>
    </row>
    <row r="42" spans="1:26" x14ac:dyDescent="0.2">
      <c r="A42">
        <v>41</v>
      </c>
      <c r="B42">
        <v>1</v>
      </c>
      <c r="C42">
        <v>24</v>
      </c>
      <c r="D42" t="s">
        <v>3</v>
      </c>
      <c r="E42" t="s">
        <v>5</v>
      </c>
      <c r="F42" t="str">
        <f>IF(V42&gt;11,"high","low")</f>
        <v>low</v>
      </c>
      <c r="G42">
        <v>2.8897222222222219</v>
      </c>
      <c r="H42">
        <v>7</v>
      </c>
      <c r="I42">
        <v>0.71</v>
      </c>
      <c r="J42">
        <v>0.71</v>
      </c>
      <c r="K42">
        <v>0.08</v>
      </c>
      <c r="L42">
        <v>0.84</v>
      </c>
      <c r="M42">
        <v>1</v>
      </c>
      <c r="N42">
        <v>1</v>
      </c>
      <c r="O42">
        <v>1</v>
      </c>
      <c r="P42">
        <v>0.97</v>
      </c>
      <c r="Q42">
        <v>0.95</v>
      </c>
      <c r="R42">
        <v>0.93</v>
      </c>
      <c r="S42">
        <v>464</v>
      </c>
      <c r="T42">
        <v>15.47</v>
      </c>
      <c r="U42">
        <v>16</v>
      </c>
      <c r="V42">
        <v>10</v>
      </c>
      <c r="W42">
        <v>0.33</v>
      </c>
      <c r="X42">
        <v>0</v>
      </c>
      <c r="Y42">
        <v>136</v>
      </c>
      <c r="Z42">
        <v>1.537351992139782</v>
      </c>
    </row>
    <row r="43" spans="1:26" x14ac:dyDescent="0.2">
      <c r="A43">
        <v>42</v>
      </c>
      <c r="B43">
        <v>1</v>
      </c>
      <c r="C43">
        <v>25</v>
      </c>
      <c r="D43" t="s">
        <v>3</v>
      </c>
      <c r="E43" t="s">
        <v>5</v>
      </c>
      <c r="F43" t="str">
        <f>IF(V43&gt;11,"high","low")</f>
        <v>low</v>
      </c>
      <c r="G43">
        <v>2.739444444444445</v>
      </c>
      <c r="H43">
        <v>7</v>
      </c>
      <c r="I43">
        <v>0.65</v>
      </c>
      <c r="J43">
        <v>0.82</v>
      </c>
      <c r="K43">
        <v>0.04</v>
      </c>
      <c r="L43">
        <v>0.89</v>
      </c>
      <c r="M43">
        <v>1</v>
      </c>
      <c r="N43">
        <v>0.98</v>
      </c>
      <c r="O43">
        <v>0.97</v>
      </c>
      <c r="P43">
        <v>0.97</v>
      </c>
      <c r="Q43">
        <v>0.94</v>
      </c>
      <c r="R43">
        <v>0.9</v>
      </c>
      <c r="S43">
        <v>464</v>
      </c>
      <c r="T43">
        <v>15.47</v>
      </c>
      <c r="U43">
        <v>14</v>
      </c>
      <c r="V43">
        <v>0</v>
      </c>
      <c r="W43">
        <v>0</v>
      </c>
      <c r="X43">
        <v>0</v>
      </c>
      <c r="Y43">
        <v>71</v>
      </c>
      <c r="Z43">
        <v>1.8293471753865</v>
      </c>
    </row>
    <row r="44" spans="1:26" x14ac:dyDescent="0.2">
      <c r="A44">
        <v>43</v>
      </c>
      <c r="B44">
        <v>1</v>
      </c>
      <c r="C44">
        <v>23</v>
      </c>
      <c r="D44" t="s">
        <v>1</v>
      </c>
      <c r="E44" t="s">
        <v>5</v>
      </c>
      <c r="F44" t="str">
        <f>IF(V44&gt;11,"high","low")</f>
        <v>low</v>
      </c>
      <c r="G44">
        <v>3.7958333333333329</v>
      </c>
      <c r="H44">
        <v>6</v>
      </c>
      <c r="I44">
        <v>0.74</v>
      </c>
      <c r="J44">
        <v>0.81</v>
      </c>
      <c r="K44">
        <v>0.04</v>
      </c>
      <c r="L44">
        <v>0.89</v>
      </c>
      <c r="M44">
        <v>1</v>
      </c>
      <c r="N44">
        <v>0.98</v>
      </c>
      <c r="O44">
        <v>0.97</v>
      </c>
      <c r="P44">
        <v>0.8</v>
      </c>
      <c r="Q44">
        <v>0.88</v>
      </c>
      <c r="R44">
        <v>0.97</v>
      </c>
      <c r="S44">
        <v>564</v>
      </c>
      <c r="T44">
        <v>18.8</v>
      </c>
      <c r="U44">
        <v>18.5</v>
      </c>
      <c r="V44">
        <v>4</v>
      </c>
      <c r="W44">
        <v>0.13</v>
      </c>
      <c r="X44">
        <v>0</v>
      </c>
      <c r="Y44">
        <v>102</v>
      </c>
      <c r="Z44">
        <v>1.543263565244716</v>
      </c>
    </row>
    <row r="45" spans="1:26" x14ac:dyDescent="0.2">
      <c r="A45">
        <v>44</v>
      </c>
      <c r="B45">
        <v>0</v>
      </c>
      <c r="C45">
        <v>20</v>
      </c>
      <c r="D45" t="s">
        <v>1</v>
      </c>
      <c r="E45" t="s">
        <v>5</v>
      </c>
      <c r="F45" t="str">
        <f>IF(V45&gt;11,"high","low")</f>
        <v>high</v>
      </c>
      <c r="G45">
        <v>2.4300000000000002</v>
      </c>
      <c r="H45">
        <v>3</v>
      </c>
      <c r="I45">
        <v>0.64</v>
      </c>
      <c r="J45">
        <v>0.63</v>
      </c>
      <c r="K45">
        <v>0.48</v>
      </c>
      <c r="L45">
        <v>0.94</v>
      </c>
      <c r="M45">
        <v>0.77</v>
      </c>
      <c r="N45">
        <v>0.84</v>
      </c>
      <c r="O45">
        <v>0.9</v>
      </c>
      <c r="P45">
        <v>0.83</v>
      </c>
      <c r="Q45">
        <v>0.83</v>
      </c>
      <c r="R45">
        <v>0.83</v>
      </c>
      <c r="S45">
        <v>361</v>
      </c>
      <c r="T45">
        <v>12.03</v>
      </c>
      <c r="U45">
        <v>11</v>
      </c>
      <c r="V45">
        <v>19</v>
      </c>
      <c r="W45">
        <v>0.63</v>
      </c>
      <c r="X45">
        <v>0</v>
      </c>
      <c r="Y45">
        <v>140</v>
      </c>
      <c r="Z45">
        <v>1.3092615222028441</v>
      </c>
    </row>
    <row r="46" spans="1:26" x14ac:dyDescent="0.2">
      <c r="A46">
        <v>45</v>
      </c>
      <c r="B46">
        <v>1</v>
      </c>
      <c r="C46">
        <v>25</v>
      </c>
      <c r="D46" t="s">
        <v>1</v>
      </c>
      <c r="E46" t="s">
        <v>5</v>
      </c>
      <c r="F46" t="str">
        <f>IF(V46&gt;11,"high","low")</f>
        <v>high</v>
      </c>
      <c r="G46">
        <v>2.429444444444445</v>
      </c>
      <c r="H46">
        <v>7</v>
      </c>
      <c r="I46">
        <v>0.83</v>
      </c>
      <c r="J46">
        <v>0.72</v>
      </c>
      <c r="K46">
        <v>0.08</v>
      </c>
      <c r="L46">
        <v>0.88</v>
      </c>
      <c r="M46">
        <v>0.8</v>
      </c>
      <c r="N46">
        <v>0.85</v>
      </c>
      <c r="O46">
        <v>0.9</v>
      </c>
      <c r="P46">
        <v>0.67</v>
      </c>
      <c r="Q46">
        <v>0.74</v>
      </c>
      <c r="R46">
        <v>0.8</v>
      </c>
      <c r="S46">
        <v>366</v>
      </c>
      <c r="T46">
        <v>12.2</v>
      </c>
      <c r="U46">
        <v>13</v>
      </c>
      <c r="V46">
        <v>19</v>
      </c>
      <c r="W46">
        <v>0.63</v>
      </c>
      <c r="X46">
        <v>0.5</v>
      </c>
      <c r="Y46">
        <v>106</v>
      </c>
      <c r="Z46">
        <v>1.490652285665494</v>
      </c>
    </row>
    <row r="47" spans="1:26" x14ac:dyDescent="0.2">
      <c r="A47">
        <v>46</v>
      </c>
      <c r="B47">
        <v>1</v>
      </c>
      <c r="C47">
        <v>39</v>
      </c>
      <c r="D47" t="s">
        <v>3</v>
      </c>
      <c r="E47" t="s">
        <v>5</v>
      </c>
      <c r="F47" t="str">
        <f>IF(V47&gt;11,"high","low")</f>
        <v>high</v>
      </c>
      <c r="G47">
        <v>2.5783333333333331</v>
      </c>
      <c r="H47">
        <v>17</v>
      </c>
      <c r="I47">
        <v>0.76</v>
      </c>
      <c r="J47">
        <v>0.67</v>
      </c>
      <c r="K47">
        <v>0.92</v>
      </c>
      <c r="L47">
        <v>0.99</v>
      </c>
      <c r="M47">
        <v>0.6</v>
      </c>
      <c r="N47">
        <v>0.56000000000000005</v>
      </c>
      <c r="O47">
        <v>0.53</v>
      </c>
      <c r="P47">
        <v>0.56999999999999995</v>
      </c>
      <c r="Q47">
        <v>0.57999999999999996</v>
      </c>
      <c r="R47">
        <v>0.6</v>
      </c>
      <c r="S47">
        <v>609</v>
      </c>
      <c r="T47">
        <v>20.3</v>
      </c>
      <c r="U47">
        <v>20</v>
      </c>
      <c r="V47">
        <v>16</v>
      </c>
      <c r="W47">
        <v>0.53</v>
      </c>
      <c r="X47">
        <v>0</v>
      </c>
      <c r="Y47">
        <v>116</v>
      </c>
      <c r="Z47">
        <v>1.1158342289949399</v>
      </c>
    </row>
    <row r="48" spans="1:26" x14ac:dyDescent="0.2">
      <c r="A48">
        <v>47</v>
      </c>
      <c r="B48">
        <v>0</v>
      </c>
      <c r="C48">
        <v>26</v>
      </c>
      <c r="D48" t="s">
        <v>3</v>
      </c>
      <c r="E48" t="s">
        <v>5</v>
      </c>
      <c r="F48" t="str">
        <f>IF(V48&gt;11,"high","low")</f>
        <v>high</v>
      </c>
      <c r="G48">
        <v>2.4797222222222222</v>
      </c>
      <c r="H48">
        <v>7</v>
      </c>
      <c r="I48">
        <v>0.56000000000000005</v>
      </c>
      <c r="J48">
        <v>0.81</v>
      </c>
      <c r="K48">
        <v>0.04</v>
      </c>
      <c r="L48">
        <v>0.87</v>
      </c>
      <c r="M48">
        <v>0.7</v>
      </c>
      <c r="N48">
        <v>0.72</v>
      </c>
      <c r="O48">
        <v>0.73</v>
      </c>
      <c r="P48">
        <v>0.7</v>
      </c>
      <c r="Q48">
        <v>0.72</v>
      </c>
      <c r="R48">
        <v>0.73</v>
      </c>
      <c r="S48">
        <v>344</v>
      </c>
      <c r="T48">
        <v>11.47</v>
      </c>
      <c r="U48">
        <v>10</v>
      </c>
      <c r="V48">
        <v>14</v>
      </c>
      <c r="W48">
        <v>0.47</v>
      </c>
      <c r="X48">
        <v>0</v>
      </c>
      <c r="Y48">
        <v>137</v>
      </c>
      <c r="Z48">
        <v>1.3730386776596979</v>
      </c>
    </row>
  </sheetData>
  <autoFilter ref="A1:VS48" xr:uid="{00000000-0001-0000-0000-000000000000}">
    <sortState xmlns:xlrd2="http://schemas.microsoft.com/office/spreadsheetml/2017/richdata2" ref="A2:VS48">
      <sortCondition ref="E1:E4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</cp:lastModifiedBy>
  <dcterms:created xsi:type="dcterms:W3CDTF">2024-10-08T09:09:16Z</dcterms:created>
  <dcterms:modified xsi:type="dcterms:W3CDTF">2026-01-09T23:15:04Z</dcterms:modified>
</cp:coreProperties>
</file>